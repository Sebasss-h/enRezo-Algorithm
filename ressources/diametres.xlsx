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cole\TEE\EnRezo\enRezo-Algorithm_steiner_V5.4\ressources\"/>
    </mc:Choice>
  </mc:AlternateContent>
  <xr:revisionPtr revIDLastSave="0" documentId="13_ncr:1_{8C1F7C94-7136-4B37-8D3D-06FB2DAEB2E7}" xr6:coauthVersionLast="47" xr6:coauthVersionMax="47" xr10:uidLastSave="{00000000-0000-0000-0000-000000000000}"/>
  <bookViews>
    <workbookView xWindow="-108" yWindow="-108" windowWidth="23256" windowHeight="13176" xr2:uid="{7F82A3F0-3E44-46CE-BD27-2987FA7047D6}"/>
  </bookViews>
  <sheets>
    <sheet name="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6" i="1"/>
  <c r="E17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<sst xmlns="http://schemas.openxmlformats.org/spreadsheetml/2006/main" count="22" uniqueCount="22">
  <si>
    <t>Diamètre Nominal (DN)</t>
  </si>
  <si>
    <t>Diamètre Extérieur (mm)</t>
  </si>
  <si>
    <t>E (MWh)</t>
  </si>
  <si>
    <t>P (MW)</t>
  </si>
  <si>
    <t>Cout (euros/m)</t>
  </si>
  <si>
    <t>DN 20</t>
  </si>
  <si>
    <t>DN 25</t>
  </si>
  <si>
    <t>DN 32</t>
  </si>
  <si>
    <t>DN 40</t>
  </si>
  <si>
    <t>DN 50</t>
  </si>
  <si>
    <t>DN 65</t>
  </si>
  <si>
    <t>DN 80</t>
  </si>
  <si>
    <t>DN 100</t>
  </si>
  <si>
    <t>DN 125</t>
  </si>
  <si>
    <t>DN 150</t>
  </si>
  <si>
    <t>DN 200</t>
  </si>
  <si>
    <t>DN 250</t>
  </si>
  <si>
    <t>DN 300</t>
  </si>
  <si>
    <t>DN 400</t>
  </si>
  <si>
    <t>DN 500</t>
  </si>
  <si>
    <t>DN 450</t>
  </si>
  <si>
    <t>DN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</si>
</sst>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rgb="FF1F1F1F"/>
      <name val="Aptos Narrow"/>
      <family val="2"/>
    </font>
    <font>
      <sz val="9"/>
      <color rgb="FF000000"/>
      <name val="Aptos Narrow"/>
      <family val="2"/>
    </font>
    <font>
      <b/>
      <sz val="9"/>
      <color rgb="FF1F1F1F"/>
      <name val="Aptos Narrow"/>
      <family val="2"/>
    </font>
    <font>
      <sz val="9"/>
      <color rgb="FFFF3131"/>
      <name val="Aptos Narrow"/>
      <family val="2"/>
    </font>
    <font>
      <sz val="11"/>
      <color theme="1"/>
      <name val="Calibri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599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wrapText="1"/>
    </xf>
    <xf numFmtId="4" fontId="1" fillId="2" borderId="1" xfId="0" applyNumberFormat="1" applyFont="1" applyFill="1" applyBorder="1" applyAlignment="1">
      <alignment horizontal="left" wrapText="1"/>
    </xf>
    <xf numFmtId="4" fontId="2" fillId="2" borderId="2" xfId="0" applyNumberFormat="1" applyFont="1" applyFill="1" applyBorder="1" applyAlignment="1">
      <alignment horizontal="left" wrapText="1"/>
    </xf>
    <xf numFmtId="3" fontId="2" fillId="2" borderId="3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4" fontId="1" fillId="3" borderId="4" xfId="0" applyNumberFormat="1" applyFont="1" applyFill="1" applyBorder="1" applyAlignment="1">
      <alignment horizontal="right" wrapText="1"/>
    </xf>
    <xf numFmtId="4" fontId="4" fillId="3" borderId="2" xfId="0" applyNumberFormat="1" applyFont="1" applyFill="1" applyBorder="1" applyAlignment="1">
      <alignment horizontal="right" wrapText="1"/>
    </xf>
    <xf numFmtId="4" fontId="1" fillId="0" borderId="5" xfId="0" applyNumberFormat="1" applyFont="1" applyBorder="1" applyAlignment="1">
      <alignment horizontal="right" wrapText="1"/>
    </xf>
    <xf numFmtId="3" fontId="5" fillId="0" borderId="2" xfId="0" applyNumberFormat="1" applyFont="1" applyBorder="1" applyAlignment="1">
      <alignment horizontal="right" wrapText="1"/>
    </xf>
    <xf numFmtId="3" fontId="4" fillId="3" borderId="2" xfId="0" applyNumberFormat="1" applyFont="1" applyFill="1" applyBorder="1" applyAlignment="1">
      <alignment horizontal="right" wrapText="1"/>
    </xf>
    <xf numFmtId="3" fontId="1" fillId="3" borderId="4" xfId="0" applyNumberFormat="1" applyFont="1" applyFill="1" applyBorder="1" applyAlignment="1">
      <alignment horizontal="right" wrapText="1"/>
    </xf>
    <xf numFmtId="0" fontId="3" fillId="3" borderId="7" xfId="0" applyFont="1" applyFill="1" applyBorder="1" applyAlignment="1">
      <alignment horizontal="left" wrapText="1"/>
    </xf>
    <xf numFmtId="4" fontId="1" fillId="3" borderId="8" xfId="0" applyNumberFormat="1" applyFont="1" applyFill="1" applyBorder="1" applyAlignment="1">
      <alignment horizontal="right" wrapText="1"/>
    </xf>
    <xf numFmtId="4" fontId="4" fillId="3" borderId="8" xfId="0" applyNumberFormat="1" applyFont="1" applyFill="1" applyBorder="1" applyAlignment="1">
      <alignment horizontal="right" wrapText="1"/>
    </xf>
    <xf numFmtId="4" fontId="1" fillId="0" borderId="9" xfId="0" applyNumberFormat="1" applyFont="1" applyBorder="1" applyAlignment="1">
      <alignment horizontal="right" wrapText="1"/>
    </xf>
    <xf numFmtId="3" fontId="5" fillId="0" borderId="8" xfId="0" applyNumberFormat="1" applyFont="1" applyBorder="1" applyAlignment="1">
      <alignment horizontal="right" wrapText="1"/>
    </xf>
    <xf numFmtId="0" fontId="3" fillId="3" borderId="6" xfId="0" applyFont="1" applyFill="1" applyBorder="1" applyAlignment="1">
      <alignment horizontal="left" wrapText="1"/>
    </xf>
    <xf numFmtId="3" fontId="5" fillId="0" borderId="12" xfId="0" applyNumberFormat="1" applyFont="1" applyBorder="1" applyAlignment="1">
      <alignment horizontal="right" wrapText="1"/>
    </xf>
    <xf numFmtId="3" fontId="5" fillId="0" borderId="6" xfId="0" applyNumberFormat="1" applyFont="1" applyBorder="1" applyAlignment="1">
      <alignment horizontal="right" wrapText="1"/>
    </xf>
    <xf numFmtId="4" fontId="4" fillId="3" borderId="10" xfId="0" applyNumberFormat="1" applyFont="1" applyFill="1" applyBorder="1" applyAlignment="1">
      <alignment horizontal="right" wrapText="1"/>
    </xf>
    <xf numFmtId="4" fontId="4" fillId="3" borderId="6" xfId="0" applyNumberFormat="1" applyFont="1" applyFill="1" applyBorder="1" applyAlignment="1">
      <alignment horizontal="right" wrapText="1"/>
    </xf>
    <xf numFmtId="0" fontId="6" fillId="0" borderId="6" xfId="0" applyFont="1" applyBorder="1"/>
    <xf numFmtId="0" fontId="6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5BB7-3607-4563-BA5B-C588F8BE7E89}">
  <dimension ref="A1:E18"/>
  <sheetViews>
    <sheetView tabSelected="1" workbookViewId="0">
      <selection activeCell="F10" sqref="F10"/>
    </sheetView>
  </sheetViews>
  <sheetFormatPr baseColWidth="10" defaultRowHeight="14.4" x14ac:dyDescent="0.3"/>
  <sheetData>
    <row r="1" spans="1:5" ht="25.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 ht="15" thickBot="1" x14ac:dyDescent="0.35">
      <c r="A2" s="5" t="s">
        <v>5</v>
      </c>
      <c r="B2" s="6">
        <v>26.9</v>
      </c>
      <c r="C2" s="7">
        <v>181</v>
      </c>
      <c r="D2" s="8">
        <v>0.21</v>
      </c>
      <c r="E2" s="9">
        <f t="shared" ref="E2:E18" si="0">ROUND(0.0042*B2^2 + 0.2056*B2 + 71.923, 0)</f>
        <v>80</v>
      </c>
    </row>
    <row r="3" spans="1:5" ht="15" thickBot="1" x14ac:dyDescent="0.35">
      <c r="A3" s="5" t="s">
        <v>6</v>
      </c>
      <c r="B3" s="6">
        <v>33.700000000000003</v>
      </c>
      <c r="C3" s="7">
        <v>283</v>
      </c>
      <c r="D3" s="8">
        <v>0.33</v>
      </c>
      <c r="E3" s="9">
        <f t="shared" si="0"/>
        <v>84</v>
      </c>
    </row>
    <row r="4" spans="1:5" ht="15" thickBot="1" x14ac:dyDescent="0.35">
      <c r="A4" s="5" t="s">
        <v>7</v>
      </c>
      <c r="B4" s="6">
        <v>42.4</v>
      </c>
      <c r="C4" s="7">
        <v>464</v>
      </c>
      <c r="D4" s="8">
        <v>0.53</v>
      </c>
      <c r="E4" s="9">
        <f t="shared" si="0"/>
        <v>88</v>
      </c>
    </row>
    <row r="5" spans="1:5" ht="15" thickBot="1" x14ac:dyDescent="0.35">
      <c r="A5" s="5" t="s">
        <v>8</v>
      </c>
      <c r="B5" s="6">
        <v>48.3</v>
      </c>
      <c r="C5" s="7">
        <v>725</v>
      </c>
      <c r="D5" s="8">
        <v>0.69</v>
      </c>
      <c r="E5" s="9">
        <f t="shared" si="0"/>
        <v>92</v>
      </c>
    </row>
    <row r="6" spans="1:5" ht="15" thickBot="1" x14ac:dyDescent="0.35">
      <c r="A6" s="5" t="s">
        <v>9</v>
      </c>
      <c r="B6" s="6">
        <v>60.3</v>
      </c>
      <c r="C6" s="7">
        <v>1132</v>
      </c>
      <c r="D6" s="8">
        <v>1.07</v>
      </c>
      <c r="E6" s="9">
        <f t="shared" si="0"/>
        <v>100</v>
      </c>
    </row>
    <row r="7" spans="1:5" ht="15" thickBot="1" x14ac:dyDescent="0.35">
      <c r="A7" s="5" t="s">
        <v>10</v>
      </c>
      <c r="B7" s="6">
        <v>76.099999999999994</v>
      </c>
      <c r="C7" s="10">
        <v>1914</v>
      </c>
      <c r="D7" s="8">
        <v>1.71</v>
      </c>
      <c r="E7" s="9">
        <f t="shared" si="0"/>
        <v>112</v>
      </c>
    </row>
    <row r="8" spans="1:5" ht="15" thickBot="1" x14ac:dyDescent="0.35">
      <c r="A8" s="5" t="s">
        <v>11</v>
      </c>
      <c r="B8" s="6">
        <v>88.9</v>
      </c>
      <c r="C8" s="7">
        <v>2900</v>
      </c>
      <c r="D8" s="8">
        <v>2.33</v>
      </c>
      <c r="E8" s="9">
        <f t="shared" si="0"/>
        <v>123</v>
      </c>
    </row>
    <row r="9" spans="1:5" ht="15" thickBot="1" x14ac:dyDescent="0.35">
      <c r="A9" s="5" t="s">
        <v>12</v>
      </c>
      <c r="B9" s="6">
        <v>114.3</v>
      </c>
      <c r="C9" s="7">
        <v>4531</v>
      </c>
      <c r="D9" s="8">
        <v>3.86</v>
      </c>
      <c r="E9" s="9">
        <f t="shared" si="0"/>
        <v>150</v>
      </c>
    </row>
    <row r="10" spans="1:5" ht="15" thickBot="1" x14ac:dyDescent="0.35">
      <c r="A10" s="5" t="s">
        <v>13</v>
      </c>
      <c r="B10" s="6">
        <v>139.69999999999999</v>
      </c>
      <c r="C10" s="7">
        <v>7080</v>
      </c>
      <c r="D10" s="8">
        <v>5.76</v>
      </c>
      <c r="E10" s="9">
        <f t="shared" si="0"/>
        <v>183</v>
      </c>
    </row>
    <row r="11" spans="1:5" ht="15" thickBot="1" x14ac:dyDescent="0.35">
      <c r="A11" s="5" t="s">
        <v>14</v>
      </c>
      <c r="B11" s="6">
        <v>168.3</v>
      </c>
      <c r="C11" s="7">
        <v>10195</v>
      </c>
      <c r="D11" s="8">
        <v>8.3699999999999992</v>
      </c>
      <c r="E11" s="9">
        <f t="shared" si="0"/>
        <v>225</v>
      </c>
    </row>
    <row r="12" spans="1:5" ht="15" thickBot="1" x14ac:dyDescent="0.35">
      <c r="A12" s="5" t="s">
        <v>15</v>
      </c>
      <c r="B12" s="6">
        <v>219.1</v>
      </c>
      <c r="C12" s="7">
        <v>18125</v>
      </c>
      <c r="D12" s="8">
        <v>14.18</v>
      </c>
      <c r="E12" s="9">
        <f t="shared" si="0"/>
        <v>319</v>
      </c>
    </row>
    <row r="13" spans="1:5" ht="15" thickBot="1" x14ac:dyDescent="0.35">
      <c r="A13" s="5" t="s">
        <v>16</v>
      </c>
      <c r="B13" s="11">
        <v>273</v>
      </c>
      <c r="C13" s="7">
        <v>28320</v>
      </c>
      <c r="D13" s="8">
        <v>22.02</v>
      </c>
      <c r="E13" s="9">
        <f t="shared" si="0"/>
        <v>441</v>
      </c>
    </row>
    <row r="14" spans="1:5" ht="15" thickBot="1" x14ac:dyDescent="0.35">
      <c r="A14" s="5" t="s">
        <v>17</v>
      </c>
      <c r="B14" s="6">
        <v>323.89999999999998</v>
      </c>
      <c r="C14" s="7">
        <v>40781</v>
      </c>
      <c r="D14" s="8">
        <v>30.99</v>
      </c>
      <c r="E14" s="9">
        <f t="shared" si="0"/>
        <v>579</v>
      </c>
    </row>
    <row r="15" spans="1:5" ht="15" thickBot="1" x14ac:dyDescent="0.35">
      <c r="A15" s="12" t="s">
        <v>18</v>
      </c>
      <c r="B15" s="13">
        <v>406.4</v>
      </c>
      <c r="C15" s="14">
        <v>72500</v>
      </c>
      <c r="D15" s="15">
        <v>48.79</v>
      </c>
      <c r="E15" s="16">
        <f t="shared" si="0"/>
        <v>849</v>
      </c>
    </row>
    <row r="16" spans="1:5" ht="15" thickBot="1" x14ac:dyDescent="0.35">
      <c r="A16" s="17" t="s">
        <v>20</v>
      </c>
      <c r="B16" s="22">
        <v>457.2</v>
      </c>
      <c r="C16" s="20">
        <v>91758</v>
      </c>
      <c r="D16" s="22">
        <v>59.83</v>
      </c>
      <c r="E16" s="18">
        <f t="shared" si="0"/>
        <v>1044</v>
      </c>
    </row>
    <row r="17" spans="1:5" ht="15" thickBot="1" x14ac:dyDescent="0.35">
      <c r="A17" s="17" t="s">
        <v>19</v>
      </c>
      <c r="B17" s="22">
        <v>508</v>
      </c>
      <c r="C17" s="21">
        <v>113281</v>
      </c>
      <c r="D17" s="22">
        <v>73.87</v>
      </c>
      <c r="E17" s="19">
        <f t="shared" si="0"/>
        <v>1260</v>
      </c>
    </row>
    <row r="18" spans="1:5" ht="15" thickBot="1" x14ac:dyDescent="0.35">
      <c r="A18" s="17" t="s">
        <v>21</v>
      </c>
      <c r="B18" s="23">
        <v>610</v>
      </c>
      <c r="C18" s="21">
        <v>163126</v>
      </c>
      <c r="D18" s="23">
        <v>106.37</v>
      </c>
      <c r="E18" s="19">
        <f t="shared" si="0"/>
        <v>1760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laudereau</dc:creator>
  <cp:lastModifiedBy>louis laudereau</cp:lastModifiedBy>
  <dcterms:created xsi:type="dcterms:W3CDTF">2026-03-05T08:23:11Z</dcterms:created>
  <dcterms:modified xsi:type="dcterms:W3CDTF">2026-03-18T14:23:17Z</dcterms:modified>
</cp:coreProperties>
</file>